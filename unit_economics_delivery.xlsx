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Модель" sheetId="2" state="visible" r:id="rId4"/>
    <sheet name="Окупаемость" sheetId="3" state="visible" r:id="rId5"/>
    <sheet name="Вывод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<sst xmlns="http://schemas.openxmlformats.org/spreadsheetml/2006/main" count="72" uniqueCount="69">
  <si>
    <t xml:space="preserve">Юнит-экономика новой службы доставки еды</t>
  </si>
  <si>
    <t xml:space="preserve">Учебный проект: Подгорный Максим, Колледж Skypro, направление «Бизнес-аналитик».</t>
  </si>
  <si>
    <t xml:space="preserve">Что считает модель: сколько бизнес зарабатывает с одного заказа, сколько тратит на привлечение клиента, когда выйдет в плюс и когда окупятся вложения.</t>
  </si>
  <si>
    <t xml:space="preserve">Как пользоваться:</t>
  </si>
  <si>
    <t xml:space="preserve">1. Лист «Модель»: жёлтые ячейки с синими цифрами — это вводные данные. Их можно менять, всё остальное пересчитается само.</t>
  </si>
  <si>
    <t xml:space="preserve">2. Лист «Окупаемость»: график накопленной прибыли по трём сценариям (пессимистичный, базовый, оптимистичный).</t>
  </si>
  <si>
    <t xml:space="preserve">3. Лист «Вывод»: короткий текст с результатами. Он обновляется вместе с цифрами.</t>
  </si>
  <si>
    <t xml:space="preserve">Важно: все цифры — учебные допущения, а не данные реальной компании. Их можно заменить на реальные, если появится заказчик.</t>
  </si>
  <si>
    <t xml:space="preserve">Допущение модели: прибыль в месяц считается одинаковой с первого месяца (без периода раскрутки), налоги не учитываются.</t>
  </si>
  <si>
    <t xml:space="preserve">Модель юнит-экономики доставки еды</t>
  </si>
  <si>
    <t xml:space="preserve">Жёлтые ячейки с синими цифрами — вводные данные (допущения). Остальное считается формулами.</t>
  </si>
  <si>
    <t xml:space="preserve">Показатель</t>
  </si>
  <si>
    <t xml:space="preserve">Пессимистичный</t>
  </si>
  <si>
    <t xml:space="preserve">Базовый</t>
  </si>
  <si>
    <t xml:space="preserve">Оптимистичный</t>
  </si>
  <si>
    <t xml:space="preserve">Комментарий / допущение</t>
  </si>
  <si>
    <t xml:space="preserve">ВВОДНЫЕ ДАННЫЕ</t>
  </si>
  <si>
    <t xml:space="preserve">Средний чек, ₽</t>
  </si>
  <si>
    <t xml:space="preserve">Допущение: средний чек доставки готовой еды</t>
  </si>
  <si>
    <t xml:space="preserve">Заказов в месяц</t>
  </si>
  <si>
    <t xml:space="preserve">Допущение: спрос в месяц</t>
  </si>
  <si>
    <t xml:space="preserve">Себестоимость блюд, % от чека</t>
  </si>
  <si>
    <t xml:space="preserve">Допущение: продукты и приготовление</t>
  </si>
  <si>
    <t xml:space="preserve">Доставка курьеру, ₽ за заказ</t>
  </si>
  <si>
    <t xml:space="preserve">Допущение: оплата курьера за один заказ</t>
  </si>
  <si>
    <t xml:space="preserve">Упаковка, ₽ за заказ</t>
  </si>
  <si>
    <t xml:space="preserve">Допущение</t>
  </si>
  <si>
    <t xml:space="preserve">Комиссия эквайринга, % от чека</t>
  </si>
  <si>
    <t xml:space="preserve">Допущение: комиссия за онлайн-оплату</t>
  </si>
  <si>
    <t xml:space="preserve">Реклама в месяц, ₽</t>
  </si>
  <si>
    <t xml:space="preserve">Допущение: расходы на привлечение клиентов</t>
  </si>
  <si>
    <t xml:space="preserve">Новых клиентов в месяц</t>
  </si>
  <si>
    <t xml:space="preserve">Допущение: сколько клиентов приходит с рекламы</t>
  </si>
  <si>
    <t xml:space="preserve">Постоянные расходы в месяц, ₽</t>
  </si>
  <si>
    <t xml:space="preserve">Допущение: аренда кухни, зарплата повара и администратора, прочее</t>
  </si>
  <si>
    <t xml:space="preserve">Стартовые вложения, ₽</t>
  </si>
  <si>
    <t xml:space="preserve">Допущение: оборудование, запуск сайта, первый запас продуктов</t>
  </si>
  <si>
    <t xml:space="preserve">РАСЧЁТ НА ОДИН ЗАКАЗ</t>
  </si>
  <si>
    <t xml:space="preserve">Себестоимость блюд, ₽</t>
  </si>
  <si>
    <t xml:space="preserve">Чек × доля себестоимости</t>
  </si>
  <si>
    <t xml:space="preserve">Эквайринг, ₽</t>
  </si>
  <si>
    <t xml:space="preserve">Чек × комиссия</t>
  </si>
  <si>
    <t xml:space="preserve">Переменные расходы на заказ, ₽</t>
  </si>
  <si>
    <t xml:space="preserve">Блюда + курьер + упаковка + эквайринг</t>
  </si>
  <si>
    <t xml:space="preserve">Прибыль с заказа (до постоянных расходов), ₽</t>
  </si>
  <si>
    <t xml:space="preserve">Чек минус переменные расходы</t>
  </si>
  <si>
    <t xml:space="preserve">Маржинальность заказа, %</t>
  </si>
  <si>
    <t xml:space="preserve">Прибыль с заказа / чек</t>
  </si>
  <si>
    <t xml:space="preserve">Стоимость привлечения клиента (CAC), ₽</t>
  </si>
  <si>
    <t xml:space="preserve">Реклама / новые клиенты</t>
  </si>
  <si>
    <t xml:space="preserve">РАСЧЁТ ЗА МЕСЯЦ И ОКУПАЕМОСТЬ</t>
  </si>
  <si>
    <t xml:space="preserve">Выручка в месяц, ₽</t>
  </si>
  <si>
    <t xml:space="preserve">Чек × заказы</t>
  </si>
  <si>
    <t xml:space="preserve">Прибыль с заказов в месяц, ₽</t>
  </si>
  <si>
    <t xml:space="preserve">Прибыль с заказа × заказы</t>
  </si>
  <si>
    <t xml:space="preserve">Прибыль в месяц после рекламы и постоянных расходов, ₽</t>
  </si>
  <si>
    <t xml:space="preserve">Прибыль с заказов минус реклама и постоянные расходы</t>
  </si>
  <si>
    <t xml:space="preserve">Точка безубыточности, заказов в месяц</t>
  </si>
  <si>
    <t xml:space="preserve">Сколько заказов нужно, чтобы выйти в ноль</t>
  </si>
  <si>
    <t xml:space="preserve">Запас прочности, %</t>
  </si>
  <si>
    <t xml:space="preserve">Насколько спрос выше точки безубыточности</t>
  </si>
  <si>
    <t xml:space="preserve">Окупаемость вложений, месяцев</t>
  </si>
  <si>
    <t xml:space="preserve">Стартовые вложения / прибыль в месяц</t>
  </si>
  <si>
    <t xml:space="preserve">Итог</t>
  </si>
  <si>
    <t xml:space="preserve">Допущение: прибыль в месяц одинакова с первого месяца, налоги не учтены. Все цифры учебные.</t>
  </si>
  <si>
    <t xml:space="preserve">Накопленная прибыль по месяцам, ₽ (с учётом стартовых вложений)</t>
  </si>
  <si>
    <t xml:space="preserve">Месяц</t>
  </si>
  <si>
    <t xml:space="preserve">Вывод по проекту</t>
  </si>
  <si>
    <t xml:space="preserve">Рекомендация: запускать проект стоит, если реально получить не меньше заказов, чем в точке безубыточности. Самые сильные рычаги — средний чек, себестоимость блюд и стоимость курьера.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</si>
</sst>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₽&quot;;\-#,##0&quot; ₽&quot;;\-"/>
    <numFmt numFmtId="166" formatCode="#,##0;\-#,##0;\-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Окупаемость: накопленная прибыль, 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Окупаемость!B3</c:f>
              <c:strCache>
                <c:ptCount val="1"/>
                <c:pt idx="0">
                  <c:v>Пессимистичный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Окупаемость!$A$4:$A$28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Окупаемость!$B$4:$B$28</c:f>
              <c:numCache>
                <c:formatCode>#,##0" ₽";\-#,##0" ₽";\-</c:formatCode>
                <c:ptCount val="25"/>
                <c:pt idx="0">
                  <c:v>-600000</c:v>
                </c:pt>
                <c:pt idx="1">
                  <c:v>-872400</c:v>
                </c:pt>
                <c:pt idx="2">
                  <c:v>-1144800</c:v>
                </c:pt>
                <c:pt idx="3">
                  <c:v>-1417200</c:v>
                </c:pt>
                <c:pt idx="4">
                  <c:v>-1689600</c:v>
                </c:pt>
                <c:pt idx="5">
                  <c:v>-1962000</c:v>
                </c:pt>
                <c:pt idx="6">
                  <c:v>-2234400</c:v>
                </c:pt>
                <c:pt idx="7">
                  <c:v>-2506800</c:v>
                </c:pt>
                <c:pt idx="8">
                  <c:v>-2779200</c:v>
                </c:pt>
                <c:pt idx="9">
                  <c:v>-3051600</c:v>
                </c:pt>
                <c:pt idx="10">
                  <c:v>-3324000</c:v>
                </c:pt>
                <c:pt idx="11">
                  <c:v>-3596400</c:v>
                </c:pt>
                <c:pt idx="12">
                  <c:v>-3868800</c:v>
                </c:pt>
                <c:pt idx="13">
                  <c:v>-4141200</c:v>
                </c:pt>
                <c:pt idx="14">
                  <c:v>-4413600</c:v>
                </c:pt>
                <c:pt idx="15">
                  <c:v>-4686000</c:v>
                </c:pt>
                <c:pt idx="16">
                  <c:v>-4958400</c:v>
                </c:pt>
                <c:pt idx="17">
                  <c:v>-5230800</c:v>
                </c:pt>
                <c:pt idx="18">
                  <c:v>-5503200</c:v>
                </c:pt>
                <c:pt idx="19">
                  <c:v>-5775600</c:v>
                </c:pt>
                <c:pt idx="20">
                  <c:v>-6048000</c:v>
                </c:pt>
                <c:pt idx="21">
                  <c:v>-6320400</c:v>
                </c:pt>
                <c:pt idx="22">
                  <c:v>-6592800</c:v>
                </c:pt>
                <c:pt idx="23">
                  <c:v>-6865200</c:v>
                </c:pt>
                <c:pt idx="24">
                  <c:v>-7137600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Окупаемость!C3</c:f>
              <c:strCache>
                <c:ptCount val="1"/>
                <c:pt idx="0">
                  <c:v>Базовый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Окупаемость!$A$4:$A$28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Окупаемость!$C$4:$C$28</c:f>
              <c:numCache>
                <c:formatCode>#,##0" ₽";\-#,##0" ₽";\-</c:formatCode>
                <c:ptCount val="25"/>
                <c:pt idx="0">
                  <c:v>-600000</c:v>
                </c:pt>
                <c:pt idx="1">
                  <c:v>-472000</c:v>
                </c:pt>
                <c:pt idx="2">
                  <c:v>-344000</c:v>
                </c:pt>
                <c:pt idx="3">
                  <c:v>-216000</c:v>
                </c:pt>
                <c:pt idx="4">
                  <c:v>-88000</c:v>
                </c:pt>
                <c:pt idx="5">
                  <c:v>40000</c:v>
                </c:pt>
                <c:pt idx="6">
                  <c:v>168000</c:v>
                </c:pt>
                <c:pt idx="7">
                  <c:v>296000</c:v>
                </c:pt>
                <c:pt idx="8">
                  <c:v>424000</c:v>
                </c:pt>
                <c:pt idx="9">
                  <c:v>552000</c:v>
                </c:pt>
                <c:pt idx="10">
                  <c:v>680000</c:v>
                </c:pt>
                <c:pt idx="11">
                  <c:v>808000</c:v>
                </c:pt>
                <c:pt idx="12">
                  <c:v>936000</c:v>
                </c:pt>
                <c:pt idx="13">
                  <c:v>1064000</c:v>
                </c:pt>
                <c:pt idx="14">
                  <c:v>1192000</c:v>
                </c:pt>
                <c:pt idx="15">
                  <c:v>1320000</c:v>
                </c:pt>
                <c:pt idx="16">
                  <c:v>1448000</c:v>
                </c:pt>
                <c:pt idx="17">
                  <c:v>1576000</c:v>
                </c:pt>
                <c:pt idx="18">
                  <c:v>1704000</c:v>
                </c:pt>
                <c:pt idx="19">
                  <c:v>1832000</c:v>
                </c:pt>
                <c:pt idx="20">
                  <c:v>1960000</c:v>
                </c:pt>
                <c:pt idx="21">
                  <c:v>2088000</c:v>
                </c:pt>
                <c:pt idx="22">
                  <c:v>2216000</c:v>
                </c:pt>
                <c:pt idx="23">
                  <c:v>2344000</c:v>
                </c:pt>
                <c:pt idx="24">
                  <c:v>2472000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Окупаемость!D3</c:f>
              <c:strCache>
                <c:ptCount val="1"/>
                <c:pt idx="0">
                  <c:v>Оптимистичный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Окупаемость!$A$4:$A$28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Окупаемость!$D$4:$D$28</c:f>
              <c:numCache>
                <c:formatCode>#,##0" ₽";\-#,##0" ₽";\-</c:formatCode>
                <c:ptCount val="25"/>
                <c:pt idx="0">
                  <c:v>-600000</c:v>
                </c:pt>
                <c:pt idx="1">
                  <c:v>-242600</c:v>
                </c:pt>
                <c:pt idx="2">
                  <c:v>114800</c:v>
                </c:pt>
                <c:pt idx="3">
                  <c:v>472200</c:v>
                </c:pt>
                <c:pt idx="4">
                  <c:v>829600</c:v>
                </c:pt>
                <c:pt idx="5">
                  <c:v>1187000</c:v>
                </c:pt>
                <c:pt idx="6">
                  <c:v>1544400</c:v>
                </c:pt>
                <c:pt idx="7">
                  <c:v>1901800</c:v>
                </c:pt>
                <c:pt idx="8">
                  <c:v>2259200</c:v>
                </c:pt>
                <c:pt idx="9">
                  <c:v>2616600</c:v>
                </c:pt>
                <c:pt idx="10">
                  <c:v>2974000</c:v>
                </c:pt>
                <c:pt idx="11">
                  <c:v>3331400</c:v>
                </c:pt>
                <c:pt idx="12">
                  <c:v>3688800</c:v>
                </c:pt>
                <c:pt idx="13">
                  <c:v>4046200</c:v>
                </c:pt>
                <c:pt idx="14">
                  <c:v>4403600</c:v>
                </c:pt>
                <c:pt idx="15">
                  <c:v>4761000</c:v>
                </c:pt>
                <c:pt idx="16">
                  <c:v>5118400</c:v>
                </c:pt>
                <c:pt idx="17">
                  <c:v>5475800</c:v>
                </c:pt>
                <c:pt idx="18">
                  <c:v>5833200</c:v>
                </c:pt>
                <c:pt idx="19">
                  <c:v>6190600</c:v>
                </c:pt>
                <c:pt idx="20">
                  <c:v>6548000</c:v>
                </c:pt>
                <c:pt idx="21">
                  <c:v>6905400</c:v>
                </c:pt>
                <c:pt idx="22">
                  <c:v>7262800</c:v>
                </c:pt>
                <c:pt idx="23">
                  <c:v>7620200</c:v>
                </c:pt>
                <c:pt idx="24">
                  <c:v>7977600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991125"/>
        <c:axId val="53463237"/>
      </c:lineChart>
      <c:catAx>
        <c:axId val="479911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Месяц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63237"/>
        <c:crosses val="autoZero"/>
        <c:auto val="1"/>
        <c:lblAlgn val="ctr"/>
        <c:lblOffset val="100"/>
        <c:noMultiLvlLbl val="0"/>
      </c:catAx>
      <c:valAx>
        <c:axId val="534632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₽&quot;;\-#,##0&quot; ₽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911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16</xdr:col>
      <xdr:colOff>473040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5545440" y="380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26.8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3</v>
      </c>
    </row>
    <row r="8" customFormat="false" ht="26.85" hidden="false" customHeight="false" outlineLevel="0" collapsed="false">
      <c r="A8" s="2" t="s">
        <v>4</v>
      </c>
    </row>
    <row r="9" customFormat="false" ht="26.8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/>
    </row>
    <row r="12" customFormat="false" ht="26.85" hidden="false" customHeight="false" outlineLevel="0" collapsed="false">
      <c r="A12" s="2" t="s">
        <v>7</v>
      </c>
    </row>
    <row r="13" customFormat="false" ht="26.85" hidden="false" customHeight="false" outlineLevel="0" collapsed="false">
      <c r="A13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8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9</v>
      </c>
    </row>
    <row r="2" customFormat="false" ht="15" hidden="false" customHeight="false" outlineLevel="0" collapsed="false">
      <c r="A2" s="4" t="s">
        <v>10</v>
      </c>
    </row>
    <row r="4" customFormat="false" ht="30" hidden="false" customHeight="true" outlineLevel="0" collapsed="false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</row>
    <row r="5" customFormat="false" ht="15" hidden="false" customHeight="false" outlineLevel="0" collapsed="false">
      <c r="A5" s="6" t="s">
        <v>16</v>
      </c>
      <c r="B5" s="7"/>
      <c r="C5" s="7"/>
      <c r="D5" s="7"/>
      <c r="E5" s="7"/>
    </row>
    <row r="6" customFormat="false" ht="15" hidden="false" customHeight="false" outlineLevel="0" collapsed="false">
      <c r="A6" s="8" t="s">
        <v>17</v>
      </c>
      <c r="B6" s="9" t="n">
        <v>800</v>
      </c>
      <c r="C6" s="9" t="n">
        <v>900</v>
      </c>
      <c r="D6" s="9" t="n">
        <v>950</v>
      </c>
      <c r="E6" s="10" t="s">
        <v>18</v>
      </c>
    </row>
    <row r="7" customFormat="false" ht="15" hidden="false" customHeight="false" outlineLevel="0" collapsed="false">
      <c r="A7" s="8" t="s">
        <v>19</v>
      </c>
      <c r="B7" s="11" t="n">
        <v>900</v>
      </c>
      <c r="C7" s="11" t="n">
        <v>1500</v>
      </c>
      <c r="D7" s="11" t="n">
        <v>1900</v>
      </c>
      <c r="E7" s="10" t="s">
        <v>20</v>
      </c>
    </row>
    <row r="8" customFormat="false" ht="15" hidden="false" customHeight="false" outlineLevel="0" collapsed="false">
      <c r="A8" s="8" t="s">
        <v>21</v>
      </c>
      <c r="B8" s="12" t="n">
        <v>0.4</v>
      </c>
      <c r="C8" s="12" t="n">
        <v>0.35</v>
      </c>
      <c r="D8" s="12" t="n">
        <v>0.34</v>
      </c>
      <c r="E8" s="10" t="s">
        <v>22</v>
      </c>
    </row>
    <row r="9" customFormat="false" ht="15" hidden="false" customHeight="false" outlineLevel="0" collapsed="false">
      <c r="A9" s="8" t="s">
        <v>23</v>
      </c>
      <c r="B9" s="9" t="n">
        <v>170</v>
      </c>
      <c r="C9" s="9" t="n">
        <v>150</v>
      </c>
      <c r="D9" s="9" t="n">
        <v>140</v>
      </c>
      <c r="E9" s="10" t="s">
        <v>24</v>
      </c>
    </row>
    <row r="10" customFormat="false" ht="15" hidden="false" customHeight="false" outlineLevel="0" collapsed="false">
      <c r="A10" s="8" t="s">
        <v>25</v>
      </c>
      <c r="B10" s="9" t="n">
        <v>30</v>
      </c>
      <c r="C10" s="9" t="n">
        <v>25</v>
      </c>
      <c r="D10" s="9" t="n">
        <v>22</v>
      </c>
      <c r="E10" s="10" t="s">
        <v>26</v>
      </c>
    </row>
    <row r="11" customFormat="false" ht="15" hidden="false" customHeight="false" outlineLevel="0" collapsed="false">
      <c r="A11" s="8" t="s">
        <v>27</v>
      </c>
      <c r="B11" s="12" t="n">
        <v>0.02</v>
      </c>
      <c r="C11" s="12" t="n">
        <v>0.02</v>
      </c>
      <c r="D11" s="12" t="n">
        <v>0.02</v>
      </c>
      <c r="E11" s="10" t="s">
        <v>28</v>
      </c>
    </row>
    <row r="12" customFormat="false" ht="15" hidden="false" customHeight="false" outlineLevel="0" collapsed="false">
      <c r="A12" s="8" t="s">
        <v>29</v>
      </c>
      <c r="B12" s="9" t="n">
        <v>200000</v>
      </c>
      <c r="C12" s="9" t="n">
        <v>150000</v>
      </c>
      <c r="D12" s="9" t="n">
        <v>180000</v>
      </c>
      <c r="E12" s="10" t="s">
        <v>30</v>
      </c>
    </row>
    <row r="13" customFormat="false" ht="15" hidden="false" customHeight="false" outlineLevel="0" collapsed="false">
      <c r="A13" s="8" t="s">
        <v>31</v>
      </c>
      <c r="B13" s="11" t="n">
        <v>250</v>
      </c>
      <c r="C13" s="11" t="n">
        <v>300</v>
      </c>
      <c r="D13" s="11" t="n">
        <v>400</v>
      </c>
      <c r="E13" s="10" t="s">
        <v>32</v>
      </c>
    </row>
    <row r="14" customFormat="false" ht="15" hidden="false" customHeight="false" outlineLevel="0" collapsed="false">
      <c r="A14" s="8" t="s">
        <v>33</v>
      </c>
      <c r="B14" s="9" t="n">
        <v>310000</v>
      </c>
      <c r="C14" s="9" t="n">
        <v>310000</v>
      </c>
      <c r="D14" s="9" t="n">
        <v>310000</v>
      </c>
      <c r="E14" s="10" t="s">
        <v>34</v>
      </c>
    </row>
    <row r="15" customFormat="false" ht="15" hidden="false" customHeight="false" outlineLevel="0" collapsed="false">
      <c r="A15" s="8" t="s">
        <v>35</v>
      </c>
      <c r="B15" s="9" t="n">
        <v>600000</v>
      </c>
      <c r="C15" s="9" t="n">
        <v>600000</v>
      </c>
      <c r="D15" s="9" t="n">
        <v>600000</v>
      </c>
      <c r="E15" s="10" t="s">
        <v>36</v>
      </c>
    </row>
    <row r="17" customFormat="false" ht="15" hidden="false" customHeight="false" outlineLevel="0" collapsed="false">
      <c r="A17" s="6" t="s">
        <v>37</v>
      </c>
      <c r="B17" s="7"/>
      <c r="C17" s="7"/>
      <c r="D17" s="7"/>
      <c r="E17" s="7"/>
    </row>
    <row r="18" customFormat="false" ht="15" hidden="false" customHeight="false" outlineLevel="0" collapsed="false">
      <c r="A18" s="8" t="s">
        <v>38</v>
      </c>
      <c r="B18" s="13" t="n">
        <f aca="false">B6*B8</f>
        <v>320</v>
      </c>
      <c r="C18" s="13" t="n">
        <f aca="false">C6*C8</f>
        <v>315</v>
      </c>
      <c r="D18" s="13" t="n">
        <f aca="false">D6*D8</f>
        <v>323</v>
      </c>
      <c r="E18" s="10" t="s">
        <v>39</v>
      </c>
    </row>
    <row r="19" customFormat="false" ht="15" hidden="false" customHeight="false" outlineLevel="0" collapsed="false">
      <c r="A19" s="8" t="s">
        <v>40</v>
      </c>
      <c r="B19" s="13" t="n">
        <f aca="false">B6*B11</f>
        <v>16</v>
      </c>
      <c r="C19" s="13" t="n">
        <f aca="false">C6*C11</f>
        <v>18</v>
      </c>
      <c r="D19" s="13" t="n">
        <f aca="false">D6*D11</f>
        <v>19</v>
      </c>
      <c r="E19" s="10" t="s">
        <v>41</v>
      </c>
    </row>
    <row r="20" customFormat="false" ht="15" hidden="false" customHeight="false" outlineLevel="0" collapsed="false">
      <c r="A20" s="8" t="s">
        <v>42</v>
      </c>
      <c r="B20" s="13" t="n">
        <f aca="false">B18+B9+B10+B19</f>
        <v>536</v>
      </c>
      <c r="C20" s="13" t="n">
        <f aca="false">C18+C9+C10+C19</f>
        <v>508</v>
      </c>
      <c r="D20" s="13" t="n">
        <f aca="false">D18+D9+D10+D19</f>
        <v>504</v>
      </c>
      <c r="E20" s="10" t="s">
        <v>43</v>
      </c>
    </row>
    <row r="21" customFormat="false" ht="15" hidden="false" customHeight="false" outlineLevel="0" collapsed="false">
      <c r="A21" s="8" t="s">
        <v>44</v>
      </c>
      <c r="B21" s="13" t="n">
        <f aca="false">B6-B20</f>
        <v>264</v>
      </c>
      <c r="C21" s="13" t="n">
        <f aca="false">C6-C20</f>
        <v>392</v>
      </c>
      <c r="D21" s="13" t="n">
        <f aca="false">D6-D20</f>
        <v>446</v>
      </c>
      <c r="E21" s="10" t="s">
        <v>45</v>
      </c>
    </row>
    <row r="22" customFormat="false" ht="15" hidden="false" customHeight="false" outlineLevel="0" collapsed="false">
      <c r="A22" s="8" t="s">
        <v>46</v>
      </c>
      <c r="B22" s="14" t="n">
        <f aca="false">IF(B6=0,0,B21/B6)</f>
        <v>0.33</v>
      </c>
      <c r="C22" s="14" t="n">
        <f aca="false">IF(C6=0,0,C21/C6)</f>
        <v>0.435555555555556</v>
      </c>
      <c r="D22" s="14" t="n">
        <f aca="false">IF(D6=0,0,D21/D6)</f>
        <v>0.469473684210526</v>
      </c>
      <c r="E22" s="10" t="s">
        <v>47</v>
      </c>
    </row>
    <row r="23" customFormat="false" ht="15" hidden="false" customHeight="false" outlineLevel="0" collapsed="false">
      <c r="A23" s="8" t="s">
        <v>48</v>
      </c>
      <c r="B23" s="13" t="n">
        <f aca="false">IF(B13=0,0,B12/B13)</f>
        <v>800</v>
      </c>
      <c r="C23" s="13" t="n">
        <f aca="false">IF(C13=0,0,C12/C13)</f>
        <v>500</v>
      </c>
      <c r="D23" s="13" t="n">
        <f aca="false">IF(D13=0,0,D12/D13)</f>
        <v>450</v>
      </c>
      <c r="E23" s="10" t="s">
        <v>49</v>
      </c>
    </row>
    <row r="25" customFormat="false" ht="15" hidden="false" customHeight="false" outlineLevel="0" collapsed="false">
      <c r="A25" s="6" t="s">
        <v>50</v>
      </c>
      <c r="B25" s="7"/>
      <c r="C25" s="7"/>
      <c r="D25" s="7"/>
      <c r="E25" s="7"/>
    </row>
    <row r="26" customFormat="false" ht="15" hidden="false" customHeight="false" outlineLevel="0" collapsed="false">
      <c r="A26" s="8" t="s">
        <v>51</v>
      </c>
      <c r="B26" s="13" t="n">
        <f aca="false">B6*B7</f>
        <v>720000</v>
      </c>
      <c r="C26" s="13" t="n">
        <f aca="false">C6*C7</f>
        <v>1350000</v>
      </c>
      <c r="D26" s="13" t="n">
        <f aca="false">D6*D7</f>
        <v>1805000</v>
      </c>
      <c r="E26" s="10" t="s">
        <v>52</v>
      </c>
    </row>
    <row r="27" customFormat="false" ht="15" hidden="false" customHeight="false" outlineLevel="0" collapsed="false">
      <c r="A27" s="8" t="s">
        <v>53</v>
      </c>
      <c r="B27" s="13" t="n">
        <f aca="false">B21*B7</f>
        <v>237600</v>
      </c>
      <c r="C27" s="13" t="n">
        <f aca="false">C21*C7</f>
        <v>588000</v>
      </c>
      <c r="D27" s="13" t="n">
        <f aca="false">D21*D7</f>
        <v>847400</v>
      </c>
      <c r="E27" s="10" t="s">
        <v>54</v>
      </c>
    </row>
    <row r="28" customFormat="false" ht="15" hidden="false" customHeight="false" outlineLevel="0" collapsed="false">
      <c r="A28" s="8" t="s">
        <v>55</v>
      </c>
      <c r="B28" s="13" t="n">
        <f aca="false">B27-B12-B14</f>
        <v>-272400</v>
      </c>
      <c r="C28" s="13" t="n">
        <f aca="false">C27-C12-C14</f>
        <v>128000</v>
      </c>
      <c r="D28" s="13" t="n">
        <f aca="false">D27-D12-D14</f>
        <v>357400</v>
      </c>
      <c r="E28" s="10" t="s">
        <v>56</v>
      </c>
    </row>
    <row r="29" customFormat="false" ht="15" hidden="false" customHeight="false" outlineLevel="0" collapsed="false">
      <c r="A29" s="8" t="s">
        <v>57</v>
      </c>
      <c r="B29" s="15" t="n">
        <f aca="false">IF(B21&lt;=0,"невозможна",ROUNDUP((B12+B14)/B21,0))</f>
        <v>1932</v>
      </c>
      <c r="C29" s="15" t="n">
        <f aca="false">IF(C21&lt;=0,"невозможна",ROUNDUP((C12+C14)/C21,0))</f>
        <v>1174</v>
      </c>
      <c r="D29" s="15" t="n">
        <f aca="false">IF(D21&lt;=0,"невозможна",ROUNDUP((D12+D14)/D21,0))</f>
        <v>1099</v>
      </c>
      <c r="E29" s="10" t="s">
        <v>58</v>
      </c>
    </row>
    <row r="30" customFormat="false" ht="15" hidden="false" customHeight="false" outlineLevel="0" collapsed="false">
      <c r="A30" s="8" t="s">
        <v>59</v>
      </c>
      <c r="B30" s="14" t="n">
        <f aca="false">IF(ISNUMBER(B29),IF(B7=0,0,(B7-B29)/B7),"-")</f>
        <v>-1.14666666666667</v>
      </c>
      <c r="C30" s="14" t="n">
        <f aca="false">IF(ISNUMBER(C29),IF(C7=0,0,(C7-C29)/C7),"-")</f>
        <v>0.217333333333333</v>
      </c>
      <c r="D30" s="14" t="n">
        <f aca="false">IF(ISNUMBER(D29),IF(D7=0,0,(D7-D29)/D7),"-")</f>
        <v>0.421578947368421</v>
      </c>
      <c r="E30" s="10" t="s">
        <v>60</v>
      </c>
    </row>
    <row r="31" customFormat="false" ht="15" hidden="false" customHeight="false" outlineLevel="0" collapsed="false">
      <c r="A31" s="8" t="s">
        <v>61</v>
      </c>
      <c r="B31" s="15" t="str">
        <f aca="false">IF(B28&gt;0,ROUNDUP(B15/B28,0),"не окупается")</f>
        <v>не окупается</v>
      </c>
      <c r="C31" s="15" t="n">
        <f aca="false">IF(C28&gt;0,ROUNDUP(C15/C28,0),"не окупается")</f>
        <v>5</v>
      </c>
      <c r="D31" s="15" t="n">
        <f aca="false">IF(D28&gt;0,ROUNDUP(D15/D28,0),"не окупается")</f>
        <v>2</v>
      </c>
      <c r="E31" s="10" t="s">
        <v>62</v>
      </c>
    </row>
    <row r="32" customFormat="false" ht="15" hidden="false" customHeight="false" outlineLevel="0" collapsed="false">
      <c r="A32" s="8" t="s">
        <v>63</v>
      </c>
      <c r="B32" s="16" t="str">
        <f aca="false">IF(B28&gt;0,"Прибыльно","Убыточно")</f>
        <v>Убыточно</v>
      </c>
      <c r="C32" s="16" t="str">
        <f aca="false">IF(C28&gt;0,"Прибыльно","Убыточно")</f>
        <v>Прибыльно</v>
      </c>
      <c r="D32" s="16" t="str">
        <f aca="false">IF(D28&gt;0,"Прибыльно","Убыточно")</f>
        <v>Прибыльно</v>
      </c>
      <c r="E32" s="10"/>
    </row>
    <row r="34" customFormat="false" ht="15" hidden="false" customHeight="false" outlineLevel="0" collapsed="false">
      <c r="A34" s="4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20"/>
  </cols>
  <sheetData>
    <row r="1" customFormat="false" ht="17.35" hidden="false" customHeight="false" outlineLevel="0" collapsed="false">
      <c r="A1" s="1" t="s">
        <v>65</v>
      </c>
    </row>
    <row r="3" customFormat="false" ht="15" hidden="false" customHeight="false" outlineLevel="0" collapsed="false">
      <c r="A3" s="17" t="s">
        <v>66</v>
      </c>
      <c r="B3" s="17" t="s">
        <v>12</v>
      </c>
      <c r="C3" s="17" t="s">
        <v>13</v>
      </c>
      <c r="D3" s="17" t="s">
        <v>14</v>
      </c>
    </row>
    <row r="4" customFormat="false" ht="15" hidden="false" customHeight="false" outlineLevel="0" collapsed="false">
      <c r="A4" s="8" t="n">
        <v>0</v>
      </c>
      <c r="B4" s="18" t="n">
        <f aca="false">-Модель!B$15+$A4*Модель!B$28</f>
        <v>-600000</v>
      </c>
      <c r="C4" s="18" t="n">
        <f aca="false">-Модель!C$15+$A4*Модель!C$28</f>
        <v>-600000</v>
      </c>
      <c r="D4" s="18" t="n">
        <f aca="false">-Модель!D$15+$A4*Модель!D$28</f>
        <v>-600000</v>
      </c>
    </row>
    <row r="5" customFormat="false" ht="15" hidden="false" customHeight="false" outlineLevel="0" collapsed="false">
      <c r="A5" s="8" t="n">
        <v>1</v>
      </c>
      <c r="B5" s="18" t="n">
        <f aca="false">-Модель!B$15+$A5*Модель!B$28</f>
        <v>-872400</v>
      </c>
      <c r="C5" s="18" t="n">
        <f aca="false">-Модель!C$15+$A5*Модель!C$28</f>
        <v>-472000</v>
      </c>
      <c r="D5" s="18" t="n">
        <f aca="false">-Модель!D$15+$A5*Модель!D$28</f>
        <v>-242600</v>
      </c>
    </row>
    <row r="6" customFormat="false" ht="15" hidden="false" customHeight="false" outlineLevel="0" collapsed="false">
      <c r="A6" s="8" t="n">
        <v>2</v>
      </c>
      <c r="B6" s="18" t="n">
        <f aca="false">-Модель!B$15+$A6*Модель!B$28</f>
        <v>-1144800</v>
      </c>
      <c r="C6" s="18" t="n">
        <f aca="false">-Модель!C$15+$A6*Модель!C$28</f>
        <v>-344000</v>
      </c>
      <c r="D6" s="18" t="n">
        <f aca="false">-Модель!D$15+$A6*Модель!D$28</f>
        <v>114800</v>
      </c>
    </row>
    <row r="7" customFormat="false" ht="15" hidden="false" customHeight="false" outlineLevel="0" collapsed="false">
      <c r="A7" s="8" t="n">
        <v>3</v>
      </c>
      <c r="B7" s="18" t="n">
        <f aca="false">-Модель!B$15+$A7*Модель!B$28</f>
        <v>-1417200</v>
      </c>
      <c r="C7" s="18" t="n">
        <f aca="false">-Модель!C$15+$A7*Модель!C$28</f>
        <v>-216000</v>
      </c>
      <c r="D7" s="18" t="n">
        <f aca="false">-Модель!D$15+$A7*Модель!D$28</f>
        <v>472200</v>
      </c>
    </row>
    <row r="8" customFormat="false" ht="15" hidden="false" customHeight="false" outlineLevel="0" collapsed="false">
      <c r="A8" s="8" t="n">
        <v>4</v>
      </c>
      <c r="B8" s="18" t="n">
        <f aca="false">-Модель!B$15+$A8*Модель!B$28</f>
        <v>-1689600</v>
      </c>
      <c r="C8" s="18" t="n">
        <f aca="false">-Модель!C$15+$A8*Модель!C$28</f>
        <v>-88000</v>
      </c>
      <c r="D8" s="18" t="n">
        <f aca="false">-Модель!D$15+$A8*Модель!D$28</f>
        <v>829600</v>
      </c>
    </row>
    <row r="9" customFormat="false" ht="15" hidden="false" customHeight="false" outlineLevel="0" collapsed="false">
      <c r="A9" s="8" t="n">
        <v>5</v>
      </c>
      <c r="B9" s="18" t="n">
        <f aca="false">-Модель!B$15+$A9*Модель!B$28</f>
        <v>-1962000</v>
      </c>
      <c r="C9" s="18" t="n">
        <f aca="false">-Модель!C$15+$A9*Модель!C$28</f>
        <v>40000</v>
      </c>
      <c r="D9" s="18" t="n">
        <f aca="false">-Модель!D$15+$A9*Модель!D$28</f>
        <v>1187000</v>
      </c>
    </row>
    <row r="10" customFormat="false" ht="15" hidden="false" customHeight="false" outlineLevel="0" collapsed="false">
      <c r="A10" s="8" t="n">
        <v>6</v>
      </c>
      <c r="B10" s="18" t="n">
        <f aca="false">-Модель!B$15+$A10*Модель!B$28</f>
        <v>-2234400</v>
      </c>
      <c r="C10" s="18" t="n">
        <f aca="false">-Модель!C$15+$A10*Модель!C$28</f>
        <v>168000</v>
      </c>
      <c r="D10" s="18" t="n">
        <f aca="false">-Модель!D$15+$A10*Модель!D$28</f>
        <v>1544400</v>
      </c>
    </row>
    <row r="11" customFormat="false" ht="15" hidden="false" customHeight="false" outlineLevel="0" collapsed="false">
      <c r="A11" s="8" t="n">
        <v>7</v>
      </c>
      <c r="B11" s="18" t="n">
        <f aca="false">-Модель!B$15+$A11*Модель!B$28</f>
        <v>-2506800</v>
      </c>
      <c r="C11" s="18" t="n">
        <f aca="false">-Модель!C$15+$A11*Модель!C$28</f>
        <v>296000</v>
      </c>
      <c r="D11" s="18" t="n">
        <f aca="false">-Модель!D$15+$A11*Модель!D$28</f>
        <v>1901800</v>
      </c>
    </row>
    <row r="12" customFormat="false" ht="15" hidden="false" customHeight="false" outlineLevel="0" collapsed="false">
      <c r="A12" s="8" t="n">
        <v>8</v>
      </c>
      <c r="B12" s="18" t="n">
        <f aca="false">-Модель!B$15+$A12*Модель!B$28</f>
        <v>-2779200</v>
      </c>
      <c r="C12" s="18" t="n">
        <f aca="false">-Модель!C$15+$A12*Модель!C$28</f>
        <v>424000</v>
      </c>
      <c r="D12" s="18" t="n">
        <f aca="false">-Модель!D$15+$A12*Модель!D$28</f>
        <v>2259200</v>
      </c>
    </row>
    <row r="13" customFormat="false" ht="15" hidden="false" customHeight="false" outlineLevel="0" collapsed="false">
      <c r="A13" s="8" t="n">
        <v>9</v>
      </c>
      <c r="B13" s="18" t="n">
        <f aca="false">-Модель!B$15+$A13*Модель!B$28</f>
        <v>-3051600</v>
      </c>
      <c r="C13" s="18" t="n">
        <f aca="false">-Модель!C$15+$A13*Модель!C$28</f>
        <v>552000</v>
      </c>
      <c r="D13" s="18" t="n">
        <f aca="false">-Модель!D$15+$A13*Модель!D$28</f>
        <v>2616600</v>
      </c>
    </row>
    <row r="14" customFormat="false" ht="15" hidden="false" customHeight="false" outlineLevel="0" collapsed="false">
      <c r="A14" s="8" t="n">
        <v>10</v>
      </c>
      <c r="B14" s="18" t="n">
        <f aca="false">-Модель!B$15+$A14*Модель!B$28</f>
        <v>-3324000</v>
      </c>
      <c r="C14" s="18" t="n">
        <f aca="false">-Модель!C$15+$A14*Модель!C$28</f>
        <v>680000</v>
      </c>
      <c r="D14" s="18" t="n">
        <f aca="false">-Модель!D$15+$A14*Модель!D$28</f>
        <v>2974000</v>
      </c>
    </row>
    <row r="15" customFormat="false" ht="15" hidden="false" customHeight="false" outlineLevel="0" collapsed="false">
      <c r="A15" s="8" t="n">
        <v>11</v>
      </c>
      <c r="B15" s="18" t="n">
        <f aca="false">-Модель!B$15+$A15*Модель!B$28</f>
        <v>-3596400</v>
      </c>
      <c r="C15" s="18" t="n">
        <f aca="false">-Модель!C$15+$A15*Модель!C$28</f>
        <v>808000</v>
      </c>
      <c r="D15" s="18" t="n">
        <f aca="false">-Модель!D$15+$A15*Модель!D$28</f>
        <v>3331400</v>
      </c>
    </row>
    <row r="16" customFormat="false" ht="15" hidden="false" customHeight="false" outlineLevel="0" collapsed="false">
      <c r="A16" s="8" t="n">
        <v>12</v>
      </c>
      <c r="B16" s="18" t="n">
        <f aca="false">-Модель!B$15+$A16*Модель!B$28</f>
        <v>-3868800</v>
      </c>
      <c r="C16" s="18" t="n">
        <f aca="false">-Модель!C$15+$A16*Модель!C$28</f>
        <v>936000</v>
      </c>
      <c r="D16" s="18" t="n">
        <f aca="false">-Модель!D$15+$A16*Модель!D$28</f>
        <v>3688800</v>
      </c>
    </row>
    <row r="17" customFormat="false" ht="15" hidden="false" customHeight="false" outlineLevel="0" collapsed="false">
      <c r="A17" s="8" t="n">
        <v>13</v>
      </c>
      <c r="B17" s="18" t="n">
        <f aca="false">-Модель!B$15+$A17*Модель!B$28</f>
        <v>-4141200</v>
      </c>
      <c r="C17" s="18" t="n">
        <f aca="false">-Модель!C$15+$A17*Модель!C$28</f>
        <v>1064000</v>
      </c>
      <c r="D17" s="18" t="n">
        <f aca="false">-Модель!D$15+$A17*Модель!D$28</f>
        <v>4046200</v>
      </c>
    </row>
    <row r="18" customFormat="false" ht="15" hidden="false" customHeight="false" outlineLevel="0" collapsed="false">
      <c r="A18" s="8" t="n">
        <v>14</v>
      </c>
      <c r="B18" s="18" t="n">
        <f aca="false">-Модель!B$15+$A18*Модель!B$28</f>
        <v>-4413600</v>
      </c>
      <c r="C18" s="18" t="n">
        <f aca="false">-Модель!C$15+$A18*Модель!C$28</f>
        <v>1192000</v>
      </c>
      <c r="D18" s="18" t="n">
        <f aca="false">-Модель!D$15+$A18*Модель!D$28</f>
        <v>4403600</v>
      </c>
    </row>
    <row r="19" customFormat="false" ht="15" hidden="false" customHeight="false" outlineLevel="0" collapsed="false">
      <c r="A19" s="8" t="n">
        <v>15</v>
      </c>
      <c r="B19" s="18" t="n">
        <f aca="false">-Модель!B$15+$A19*Модель!B$28</f>
        <v>-4686000</v>
      </c>
      <c r="C19" s="18" t="n">
        <f aca="false">-Модель!C$15+$A19*Модель!C$28</f>
        <v>1320000</v>
      </c>
      <c r="D19" s="18" t="n">
        <f aca="false">-Модель!D$15+$A19*Модель!D$28</f>
        <v>4761000</v>
      </c>
    </row>
    <row r="20" customFormat="false" ht="15" hidden="false" customHeight="false" outlineLevel="0" collapsed="false">
      <c r="A20" s="8" t="n">
        <v>16</v>
      </c>
      <c r="B20" s="18" t="n">
        <f aca="false">-Модель!B$15+$A20*Модель!B$28</f>
        <v>-4958400</v>
      </c>
      <c r="C20" s="18" t="n">
        <f aca="false">-Модель!C$15+$A20*Модель!C$28</f>
        <v>1448000</v>
      </c>
      <c r="D20" s="18" t="n">
        <f aca="false">-Модель!D$15+$A20*Модель!D$28</f>
        <v>5118400</v>
      </c>
    </row>
    <row r="21" customFormat="false" ht="15" hidden="false" customHeight="false" outlineLevel="0" collapsed="false">
      <c r="A21" s="8" t="n">
        <v>17</v>
      </c>
      <c r="B21" s="18" t="n">
        <f aca="false">-Модель!B$15+$A21*Модель!B$28</f>
        <v>-5230800</v>
      </c>
      <c r="C21" s="18" t="n">
        <f aca="false">-Модель!C$15+$A21*Модель!C$28</f>
        <v>1576000</v>
      </c>
      <c r="D21" s="18" t="n">
        <f aca="false">-Модель!D$15+$A21*Модель!D$28</f>
        <v>5475800</v>
      </c>
    </row>
    <row r="22" customFormat="false" ht="15" hidden="false" customHeight="false" outlineLevel="0" collapsed="false">
      <c r="A22" s="8" t="n">
        <v>18</v>
      </c>
      <c r="B22" s="18" t="n">
        <f aca="false">-Модель!B$15+$A22*Модель!B$28</f>
        <v>-5503200</v>
      </c>
      <c r="C22" s="18" t="n">
        <f aca="false">-Модель!C$15+$A22*Модель!C$28</f>
        <v>1704000</v>
      </c>
      <c r="D22" s="18" t="n">
        <f aca="false">-Модель!D$15+$A22*Модель!D$28</f>
        <v>5833200</v>
      </c>
    </row>
    <row r="23" customFormat="false" ht="15" hidden="false" customHeight="false" outlineLevel="0" collapsed="false">
      <c r="A23" s="8" t="n">
        <v>19</v>
      </c>
      <c r="B23" s="18" t="n">
        <f aca="false">-Модель!B$15+$A23*Модель!B$28</f>
        <v>-5775600</v>
      </c>
      <c r="C23" s="18" t="n">
        <f aca="false">-Модель!C$15+$A23*Модель!C$28</f>
        <v>1832000</v>
      </c>
      <c r="D23" s="18" t="n">
        <f aca="false">-Модель!D$15+$A23*Модель!D$28</f>
        <v>6190600</v>
      </c>
    </row>
    <row r="24" customFormat="false" ht="15" hidden="false" customHeight="false" outlineLevel="0" collapsed="false">
      <c r="A24" s="8" t="n">
        <v>20</v>
      </c>
      <c r="B24" s="18" t="n">
        <f aca="false">-Модель!B$15+$A24*Модель!B$28</f>
        <v>-6048000</v>
      </c>
      <c r="C24" s="18" t="n">
        <f aca="false">-Модель!C$15+$A24*Модель!C$28</f>
        <v>1960000</v>
      </c>
      <c r="D24" s="18" t="n">
        <f aca="false">-Модель!D$15+$A24*Модель!D$28</f>
        <v>6548000</v>
      </c>
    </row>
    <row r="25" customFormat="false" ht="15" hidden="false" customHeight="false" outlineLevel="0" collapsed="false">
      <c r="A25" s="8" t="n">
        <v>21</v>
      </c>
      <c r="B25" s="18" t="n">
        <f aca="false">-Модель!B$15+$A25*Модель!B$28</f>
        <v>-6320400</v>
      </c>
      <c r="C25" s="18" t="n">
        <f aca="false">-Модель!C$15+$A25*Модель!C$28</f>
        <v>2088000</v>
      </c>
      <c r="D25" s="18" t="n">
        <f aca="false">-Модель!D$15+$A25*Модель!D$28</f>
        <v>6905400</v>
      </c>
    </row>
    <row r="26" customFormat="false" ht="15" hidden="false" customHeight="false" outlineLevel="0" collapsed="false">
      <c r="A26" s="8" t="n">
        <v>22</v>
      </c>
      <c r="B26" s="18" t="n">
        <f aca="false">-Модель!B$15+$A26*Модель!B$28</f>
        <v>-6592800</v>
      </c>
      <c r="C26" s="18" t="n">
        <f aca="false">-Модель!C$15+$A26*Модель!C$28</f>
        <v>2216000</v>
      </c>
      <c r="D26" s="18" t="n">
        <f aca="false">-Модель!D$15+$A26*Модель!D$28</f>
        <v>7262800</v>
      </c>
    </row>
    <row r="27" customFormat="false" ht="15" hidden="false" customHeight="false" outlineLevel="0" collapsed="false">
      <c r="A27" s="8" t="n">
        <v>23</v>
      </c>
      <c r="B27" s="18" t="n">
        <f aca="false">-Модель!B$15+$A27*Модель!B$28</f>
        <v>-6865200</v>
      </c>
      <c r="C27" s="18" t="n">
        <f aca="false">-Модель!C$15+$A27*Модель!C$28</f>
        <v>2344000</v>
      </c>
      <c r="D27" s="18" t="n">
        <f aca="false">-Модель!D$15+$A27*Модель!D$28</f>
        <v>7620200</v>
      </c>
    </row>
    <row r="28" customFormat="false" ht="15" hidden="false" customHeight="false" outlineLevel="0" collapsed="false">
      <c r="A28" s="8" t="n">
        <v>24</v>
      </c>
      <c r="B28" s="18" t="n">
        <f aca="false">-Модель!B$15+$A28*Модель!B$28</f>
        <v>-7137600</v>
      </c>
      <c r="C28" s="18" t="n">
        <f aca="false">-Модель!C$15+$A28*Модель!C$28</f>
        <v>2472000</v>
      </c>
      <c r="D28" s="18" t="n">
        <f aca="false">-Модель!D$15+$A28*Модель!D$28</f>
        <v>7977600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67</v>
      </c>
    </row>
    <row r="3" customFormat="false" ht="33.75" hidden="false" customHeight="true" outlineLevel="0" collapsed="false">
      <c r="A3" s="2" t="str">
        <f aca="false">"Базовый сценарий: с одного заказа остаётся "&amp;TEXT(Модель!C21,"#,##0")&amp;" ₽ при среднем чеке "&amp;TEXT(Модель!C6,"#,##0")&amp;" ₽ (маржинальность "&amp;TEXT(Модель!C22,"0%")&amp;")."</f>
        <v>Базовый сценарий: с одного заказа остаётся 392 ₽ при среднем чеке 900 ₽ (маржинальность 44%).</v>
      </c>
    </row>
    <row r="4" customFormat="false" ht="33.75" hidden="false" customHeight="true" outlineLevel="0" collapsed="false">
      <c r="A4" s="2" t="str">
        <f aca="false">"Привлечение одного клиента стоит около "&amp;TEXT(Модель!C23,"#,##0")&amp;" ₽. Прибыль после рекламы и постоянных расходов: "&amp;TEXT(Модель!C28,"#,##0")&amp;" ₽ в месяц."</f>
        <v>Привлечение одного клиента стоит около 500 ₽. Прибыль после рекламы и постоянных расходов: 128,000 ₽ в месяц.</v>
      </c>
    </row>
    <row r="5" customFormat="false" ht="33.75" hidden="false" customHeight="true" outlineLevel="0" collapsed="false">
      <c r="A5" s="2" t="str">
        <f aca="false">IF(ISNUMBER(Модель!C29),"Чтобы выйти в ноль, нужно не менее "&amp;TEXT(Модель!C29,"#,##0")&amp;" заказов в месяц, в базовом сценарии их "&amp;TEXT(Модель!C7,"#,##0")&amp;".","При таких вводных проект не выйдет в ноль: прибыль с заказа отрицательная.")</f>
        <v>Чтобы выйти в ноль, нужно не менее 1,174 заказов в месяц, в базовом сценарии их 1,500.</v>
      </c>
    </row>
    <row r="6" customFormat="false" ht="33.75" hidden="false" customHeight="true" outlineLevel="0" collapsed="false">
      <c r="A6" s="2" t="str">
        <f aca="false">IF(ISNUMBER(Модель!C31),"Стартовые вложения окупятся примерно за "&amp;Модель!C31&amp;" мес.","В базовом сценарии вложения не окупаются.")</f>
        <v>Стартовые вложения окупятся примерно за 5 мес.</v>
      </c>
    </row>
    <row r="7" customFormat="false" ht="33.75" hidden="false" customHeight="true" outlineLevel="0" collapsed="false">
      <c r="A7" s="2" t="str">
        <f aca="false">"Пессимистичный сценарий: "&amp;IF(Модель!B28&gt;0,"проект остаётся прибыльным","проект убыточен")&amp;". Оптимистичный сценарий: окупаемость "&amp;IF(ISNUMBER(Модель!D31),Модель!D31&amp;" мес.","не достигается.")</f>
        <v>Пессимистичный сценарий: проект убыточен. Оптимистичный сценарий: окупаемость 2 мес.</v>
      </c>
    </row>
    <row r="8" customFormat="false" ht="33.75" hidden="false" customHeight="true" outlineLevel="0" collapsed="false">
      <c r="A8" s="2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2026-10-24T15:04:55Z</dcterms:created>
  <dc:creator>openpyxl</dc:creator>
  <dc:description/>
  <dc:language>en-US</dc:language>
  <cp:lastModifiedBy/>
  <dcterms:modified xsi:type="dcterms:W3CDTF">2026-10-24T15:04:57Z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